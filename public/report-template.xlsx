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D:\ملفات 313\ملف الاربعين عام\خطة الاربعين 1448 هـــ\فورمات\"/>
    </mc:Choice>
  </mc:AlternateContent>
  <xr:revisionPtr revIDLastSave="0" documentId="13_ncr:1_{C0A7404A-428C-4654-B36D-FB2A2752D383}" xr6:coauthVersionLast="36" xr6:coauthVersionMax="36" xr10:uidLastSave="{00000000-0000-0000-0000-000000000000}"/>
  <bookViews>
    <workbookView xWindow="0" yWindow="0" windowWidth="19200" windowHeight="8010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8" i="1" l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C28" i="1" l="1"/>
</calcChain>
</file>

<file path=xl/sharedStrings.xml><?xml version="1.0" encoding="utf-8"?>
<sst xmlns="http://schemas.openxmlformats.org/spreadsheetml/2006/main" count="122" uniqueCount="70">
  <si>
    <t>ت</t>
  </si>
  <si>
    <t>المحافظة</t>
  </si>
  <si>
    <t>موارد مديرية شؤون المحافظات</t>
  </si>
  <si>
    <t>الجهد التنسيقي</t>
  </si>
  <si>
    <t>التواصل العام</t>
  </si>
  <si>
    <t>الجهد الخدمي</t>
  </si>
  <si>
    <t>ملاك منتشر</t>
  </si>
  <si>
    <t>العجلات</t>
  </si>
  <si>
    <t>الوقود الموزع</t>
  </si>
  <si>
    <t>المواكب الخاصة</t>
  </si>
  <si>
    <t>الخدمية</t>
  </si>
  <si>
    <t>المواد المستلمة</t>
  </si>
  <si>
    <t>الطبية</t>
  </si>
  <si>
    <t xml:space="preserve">الاليات </t>
  </si>
  <si>
    <t>المياه</t>
  </si>
  <si>
    <t>الثلج</t>
  </si>
  <si>
    <t>التنظيف</t>
  </si>
  <si>
    <t>الجانب الإعلامي</t>
  </si>
  <si>
    <t>الطعام والعصائر</t>
  </si>
  <si>
    <t>مياه صالحة للشرب</t>
  </si>
  <si>
    <t>مياه صالحة للاستخدام</t>
  </si>
  <si>
    <t xml:space="preserve"> "بنزين"</t>
  </si>
  <si>
    <t xml:space="preserve"> "زيت الغاز"</t>
  </si>
  <si>
    <t>المواكب الخدمية المُنسق معها</t>
  </si>
  <si>
    <t>المواكب الثقافية المُنسق معها</t>
  </si>
  <si>
    <t>بناء وتوفير الصحيات (متنقل/ ثابت)</t>
  </si>
  <si>
    <t>المتطوعين للاعمال الخدمية</t>
  </si>
  <si>
    <t>بنزين</t>
  </si>
  <si>
    <t>زيت الغاز</t>
  </si>
  <si>
    <t>عدد اسطونات الغاز</t>
  </si>
  <si>
    <t>النفط الأبيض</t>
  </si>
  <si>
    <t>المفارز الطبية المُنسق عليها</t>
  </si>
  <si>
    <t>الكادر الطبي التطوعي</t>
  </si>
  <si>
    <t>الإسعافات</t>
  </si>
  <si>
    <t>العجلات الخدمية</t>
  </si>
  <si>
    <t>عدد الخدمات المقدمة</t>
  </si>
  <si>
    <t>عجلات نقل الزائرين</t>
  </si>
  <si>
    <t>عدد الزائرين المستفيد</t>
  </si>
  <si>
    <t>الابلاغ غن الحوادث</t>
  </si>
  <si>
    <t>رصد الحركات المنحرفة والابلاغ عنها</t>
  </si>
  <si>
    <t>تأمين المواقع والشخصيات</t>
  </si>
  <si>
    <t>كارتون</t>
  </si>
  <si>
    <t>سيت</t>
  </si>
  <si>
    <t>لتر</t>
  </si>
  <si>
    <t xml:space="preserve">قوالب الثلج </t>
  </si>
  <si>
    <t>عدد المتطوعين المشاركين في التنظيف</t>
  </si>
  <si>
    <t>نشر وتوزيع (مواد أعلامية)</t>
  </si>
  <si>
    <t>توثيق الحالات الايجابية والمبادرات</t>
  </si>
  <si>
    <t>وجبات الطعام الرئيسية</t>
  </si>
  <si>
    <t>وجبات الطعام الخفيفة</t>
  </si>
  <si>
    <t>المشروبات الباردة والمثلجات</t>
  </si>
  <si>
    <t>فواكه "كارتون/ او كل 12كغم يحسب كارتون"</t>
  </si>
  <si>
    <t>مقر المديرية</t>
  </si>
  <si>
    <t>مكتب البصرة</t>
  </si>
  <si>
    <t>مكتب ميسان</t>
  </si>
  <si>
    <t>مكتب ذي قار</t>
  </si>
  <si>
    <t>مكتب واسط</t>
  </si>
  <si>
    <t>مكتب المثنى</t>
  </si>
  <si>
    <t>مكتب الديوانية</t>
  </si>
  <si>
    <t>مكتب النجف الاشرف</t>
  </si>
  <si>
    <t>مكتب بابل</t>
  </si>
  <si>
    <t xml:space="preserve"> مكتب كربلاء المقدسة </t>
  </si>
  <si>
    <t>مكتب بغداد</t>
  </si>
  <si>
    <t>مكتب صلاح الدين</t>
  </si>
  <si>
    <t>مكتب الانبار</t>
  </si>
  <si>
    <t>مكتب ديالى</t>
  </si>
  <si>
    <t>مكتب كركوك</t>
  </si>
  <si>
    <t>مكتب نينوى</t>
  </si>
  <si>
    <t xml:space="preserve">احصائية مسيرة الاربعين 1448 هـــ - 2026 م مديرية شؤون المحافظات </t>
  </si>
  <si>
    <t xml:space="preserve">الاجمالي لمديرية شؤون المحافظات لغاية يوم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</si>
</sst>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theme="9" tint="-0.249977111117893"/>
      <name val="Alkafeel Naskh"/>
    </font>
    <font>
      <b/>
      <sz val="16"/>
      <name val="Alkafeel Naskh"/>
    </font>
    <font>
      <b/>
      <sz val="18"/>
      <name val="Alkafeel Naskh"/>
    </font>
    <font>
      <b/>
      <sz val="16"/>
      <color theme="1"/>
      <name val="Alkafeel Naskh"/>
    </font>
    <font>
      <b/>
      <sz val="18"/>
      <color theme="1"/>
      <name val="Alkafeel Naskh"/>
    </font>
    <font>
      <b/>
      <sz val="14"/>
      <name val="Alkafeel Naskh"/>
    </font>
    <font>
      <b/>
      <sz val="14"/>
      <color theme="1"/>
      <name val="Alkafeel Naskh"/>
    </font>
    <font>
      <b/>
      <sz val="20"/>
      <color theme="1"/>
      <name val="Alkafeel Naskh"/>
    </font>
    <font>
      <sz val="20"/>
      <color theme="1"/>
      <name val="Alkafeel Naskh"/>
    </font>
    <font>
      <b/>
      <sz val="20"/>
      <name val="Alkafeel Naskh"/>
    </font>
    <font>
      <b/>
      <sz val="22"/>
      <name val="Alkafeel Naskh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2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center" vertical="center" wrapText="1"/>
    </xf>
    <xf numFmtId="0" fontId="7" fillId="5" borderId="32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12" borderId="7" xfId="0" applyFont="1" applyFill="1" applyBorder="1" applyAlignment="1">
      <alignment horizontal="center" vertical="center" wrapText="1"/>
    </xf>
    <xf numFmtId="0" fontId="7" fillId="12" borderId="11" xfId="0" applyFont="1" applyFill="1" applyBorder="1" applyAlignment="1">
      <alignment horizontal="center" vertical="center" wrapText="1"/>
    </xf>
    <xf numFmtId="0" fontId="7" fillId="12" borderId="12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32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4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 wrapText="1"/>
    </xf>
    <xf numFmtId="165" fontId="8" fillId="2" borderId="35" xfId="1" applyNumberFormat="1" applyFont="1" applyFill="1" applyBorder="1" applyAlignment="1">
      <alignment horizontal="center" vertical="center" readingOrder="2"/>
    </xf>
    <xf numFmtId="165" fontId="9" fillId="2" borderId="36" xfId="1" applyNumberFormat="1" applyFont="1" applyFill="1" applyBorder="1" applyAlignment="1">
      <alignment horizontal="center" vertical="center" readingOrder="2"/>
    </xf>
    <xf numFmtId="3" fontId="10" fillId="13" borderId="16" xfId="1" applyNumberFormat="1" applyFont="1" applyFill="1" applyBorder="1" applyAlignment="1">
      <alignment horizontal="center" vertical="center" readingOrder="2"/>
    </xf>
    <xf numFmtId="3" fontId="10" fillId="14" borderId="16" xfId="1" applyNumberFormat="1" applyFont="1" applyFill="1" applyBorder="1" applyAlignment="1">
      <alignment horizontal="center" vertical="center" readingOrder="2"/>
    </xf>
    <xf numFmtId="165" fontId="9" fillId="2" borderId="37" xfId="1" applyNumberFormat="1" applyFont="1" applyFill="1" applyBorder="1" applyAlignment="1">
      <alignment horizontal="center" vertical="center" readingOrder="2"/>
    </xf>
    <xf numFmtId="165" fontId="9" fillId="2" borderId="21" xfId="1" applyNumberFormat="1" applyFont="1" applyFill="1" applyBorder="1" applyAlignment="1">
      <alignment horizontal="center" vertical="center" readingOrder="2"/>
    </xf>
    <xf numFmtId="3" fontId="10" fillId="11" borderId="16" xfId="1" applyNumberFormat="1" applyFont="1" applyFill="1" applyBorder="1" applyAlignment="1">
      <alignment horizontal="center" vertical="center" readingOrder="2"/>
    </xf>
    <xf numFmtId="0" fontId="4" fillId="2" borderId="2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9" borderId="39" xfId="0" applyFont="1" applyFill="1" applyBorder="1" applyAlignment="1">
      <alignment horizontal="center" vertical="center" wrapText="1"/>
    </xf>
    <xf numFmtId="0" fontId="6" fillId="9" borderId="26" xfId="0" applyFont="1" applyFill="1" applyBorder="1" applyAlignment="1">
      <alignment horizontal="center" vertical="center" wrapText="1"/>
    </xf>
    <xf numFmtId="0" fontId="7" fillId="10" borderId="39" xfId="0" applyFont="1" applyFill="1" applyBorder="1" applyAlignment="1">
      <alignment horizontal="center" vertical="center" wrapText="1"/>
    </xf>
    <xf numFmtId="0" fontId="7" fillId="10" borderId="26" xfId="0" applyFont="1" applyFill="1" applyBorder="1" applyAlignment="1">
      <alignment horizontal="center" vertical="center" wrapText="1"/>
    </xf>
    <xf numFmtId="0" fontId="6" fillId="10" borderId="40" xfId="0" applyFont="1" applyFill="1" applyBorder="1" applyAlignment="1">
      <alignment horizontal="center" vertical="center" wrapText="1"/>
    </xf>
    <xf numFmtId="0" fontId="6" fillId="10" borderId="38" xfId="0" applyFont="1" applyFill="1" applyBorder="1" applyAlignment="1">
      <alignment horizontal="center" vertical="center" wrapText="1"/>
    </xf>
    <xf numFmtId="0" fontId="6" fillId="10" borderId="23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6" fillId="11" borderId="18" xfId="0" applyFont="1" applyFill="1" applyBorder="1" applyAlignment="1">
      <alignment horizontal="center" vertical="center" wrapText="1"/>
    </xf>
    <xf numFmtId="0" fontId="6" fillId="11" borderId="0" xfId="0" applyFont="1" applyFill="1" applyBorder="1" applyAlignment="1">
      <alignment horizontal="center" vertical="center" wrapText="1"/>
    </xf>
    <xf numFmtId="0" fontId="6" fillId="11" borderId="38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6" fillId="8" borderId="25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0" fontId="2" fillId="15" borderId="18" xfId="0" applyFont="1" applyFill="1" applyBorder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5" borderId="38" xfId="0" applyFont="1" applyFill="1" applyBorder="1" applyAlignment="1">
      <alignment horizontal="center" vertical="center"/>
    </xf>
    <xf numFmtId="0" fontId="2" fillId="15" borderId="4" xfId="0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6" fillId="9" borderId="20" xfId="0" applyFont="1" applyFill="1" applyBorder="1" applyAlignment="1">
      <alignment horizontal="center" vertical="center" wrapText="1"/>
    </xf>
    <xf numFmtId="0" fontId="7" fillId="10" borderId="20" xfId="0" applyFont="1" applyFill="1" applyBorder="1" applyAlignment="1">
      <alignment horizontal="center" vertical="center" wrapText="1"/>
    </xf>
    <xf numFmtId="0" fontId="6" fillId="10" borderId="21" xfId="0" applyFont="1" applyFill="1" applyBorder="1" applyAlignment="1">
      <alignment horizontal="center" vertical="center" wrapText="1"/>
    </xf>
    <xf numFmtId="0" fontId="6" fillId="10" borderId="2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28"/>
  <sheetViews>
    <sheetView rightToLeft="1" tabSelected="1" topLeftCell="A6" zoomScale="31" zoomScaleNormal="30" workbookViewId="0">
      <selection activeCell="E15" sqref="E15"/>
    </sheetView>
  </sheetViews>
  <sheetFormatPr defaultRowHeight="14.5" x14ac:dyDescent="0.35"/>
  <cols>
    <col min="1" max="1" width="0.36328125" customWidth="1"/>
    <col min="2" max="2" width="43.54296875" customWidth="1"/>
    <col min="3" max="3" width="20.6328125" customWidth="1"/>
    <col min="4" max="7" width="18.453125" customWidth="1"/>
    <col min="8" max="9" width="18.36328125" customWidth="1"/>
    <col min="10" max="10" width="20.54296875" customWidth="1"/>
    <col min="11" max="15" width="19.90625" customWidth="1"/>
    <col min="16" max="16" width="14.54296875" customWidth="1"/>
    <col min="17" max="17" width="13.54296875" customWidth="1"/>
    <col min="18" max="18" width="14.08984375" customWidth="1"/>
    <col min="19" max="19" width="12.453125" customWidth="1"/>
    <col min="20" max="20" width="13.54296875" customWidth="1"/>
    <col min="21" max="21" width="12.54296875" customWidth="1"/>
    <col min="22" max="23" width="15.08984375" customWidth="1"/>
    <col min="24" max="24" width="18" customWidth="1"/>
    <col min="25" max="25" width="15.08984375" customWidth="1"/>
    <col min="26" max="26" width="15.36328125" bestFit="1" customWidth="1"/>
    <col min="27" max="27" width="14.6328125" customWidth="1"/>
    <col min="28" max="28" width="15.453125" customWidth="1"/>
    <col min="29" max="29" width="20.6328125" bestFit="1" customWidth="1"/>
    <col min="30" max="30" width="15.36328125" bestFit="1" customWidth="1"/>
    <col min="31" max="31" width="15.08984375" customWidth="1"/>
    <col min="32" max="32" width="14.90625" customWidth="1"/>
    <col min="33" max="33" width="16.54296875" customWidth="1"/>
    <col min="34" max="35" width="18.54296875" bestFit="1" customWidth="1"/>
    <col min="36" max="36" width="16.90625" customWidth="1"/>
    <col min="37" max="37" width="17.08984375" customWidth="1"/>
  </cols>
  <sheetData>
    <row r="1" spans="1:37" ht="44.4" customHeight="1" x14ac:dyDescent="0.35">
      <c r="A1" s="103" t="s">
        <v>68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5"/>
    </row>
    <row r="2" spans="1:37" ht="14.4" customHeight="1" x14ac:dyDescent="0.35">
      <c r="A2" s="106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8"/>
    </row>
    <row r="3" spans="1:37" ht="15" customHeight="1" thickBot="1" x14ac:dyDescent="0.4">
      <c r="A3" s="109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1"/>
    </row>
    <row r="4" spans="1:37" ht="42.5" thickBot="1" x14ac:dyDescent="0.4">
      <c r="A4" s="122" t="s">
        <v>0</v>
      </c>
      <c r="B4" s="125" t="s">
        <v>1</v>
      </c>
      <c r="C4" s="61" t="s">
        <v>2</v>
      </c>
      <c r="D4" s="127"/>
      <c r="E4" s="59"/>
      <c r="F4" s="59"/>
      <c r="G4" s="59"/>
      <c r="H4" s="128" t="s">
        <v>3</v>
      </c>
      <c r="I4" s="129"/>
      <c r="J4" s="129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1"/>
      <c r="W4" s="42" t="s">
        <v>4</v>
      </c>
      <c r="X4" s="43"/>
      <c r="Y4" s="119"/>
      <c r="Z4" s="120" t="s">
        <v>5</v>
      </c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1"/>
    </row>
    <row r="5" spans="1:37" ht="42.5" thickBot="1" x14ac:dyDescent="0.4">
      <c r="A5" s="123"/>
      <c r="B5" s="57"/>
      <c r="C5" s="53" t="s">
        <v>6</v>
      </c>
      <c r="D5" s="56" t="s">
        <v>7</v>
      </c>
      <c r="E5" s="59" t="s">
        <v>8</v>
      </c>
      <c r="F5" s="60"/>
      <c r="G5" s="61" t="s">
        <v>9</v>
      </c>
      <c r="H5" s="63" t="s">
        <v>10</v>
      </c>
      <c r="I5" s="64"/>
      <c r="J5" s="64"/>
      <c r="K5" s="65"/>
      <c r="L5" s="63" t="s">
        <v>11</v>
      </c>
      <c r="M5" s="64"/>
      <c r="N5" s="64"/>
      <c r="O5" s="65"/>
      <c r="P5" s="69" t="s">
        <v>12</v>
      </c>
      <c r="Q5" s="69"/>
      <c r="R5" s="70"/>
      <c r="S5" s="73" t="s">
        <v>13</v>
      </c>
      <c r="T5" s="74"/>
      <c r="U5" s="74"/>
      <c r="V5" s="75"/>
      <c r="W5" s="44"/>
      <c r="X5" s="45"/>
      <c r="Y5" s="46"/>
      <c r="Z5" s="94" t="s">
        <v>14</v>
      </c>
      <c r="AA5" s="94"/>
      <c r="AB5" s="94"/>
      <c r="AC5" s="94"/>
      <c r="AD5" s="112" t="s">
        <v>15</v>
      </c>
      <c r="AE5" s="113" t="s">
        <v>16</v>
      </c>
      <c r="AF5" s="114" t="s">
        <v>17</v>
      </c>
      <c r="AG5" s="115"/>
      <c r="AH5" s="116" t="s">
        <v>18</v>
      </c>
      <c r="AI5" s="117"/>
      <c r="AJ5" s="117"/>
      <c r="AK5" s="118"/>
    </row>
    <row r="6" spans="1:37" ht="84.5" thickBot="1" x14ac:dyDescent="0.4">
      <c r="A6" s="123"/>
      <c r="B6" s="57"/>
      <c r="C6" s="54"/>
      <c r="D6" s="57"/>
      <c r="E6" s="1"/>
      <c r="F6" s="2"/>
      <c r="G6" s="62"/>
      <c r="H6" s="66"/>
      <c r="I6" s="67"/>
      <c r="J6" s="67"/>
      <c r="K6" s="68"/>
      <c r="L6" s="66"/>
      <c r="M6" s="67"/>
      <c r="N6" s="67"/>
      <c r="O6" s="68"/>
      <c r="P6" s="71"/>
      <c r="Q6" s="71"/>
      <c r="R6" s="72"/>
      <c r="S6" s="76"/>
      <c r="T6" s="77"/>
      <c r="U6" s="77"/>
      <c r="V6" s="78"/>
      <c r="W6" s="47"/>
      <c r="X6" s="48"/>
      <c r="Y6" s="49"/>
      <c r="Z6" s="94" t="s">
        <v>19</v>
      </c>
      <c r="AA6" s="94"/>
      <c r="AB6" s="95"/>
      <c r="AC6" s="3" t="s">
        <v>20</v>
      </c>
      <c r="AD6" s="81"/>
      <c r="AE6" s="83"/>
      <c r="AF6" s="86"/>
      <c r="AG6" s="87"/>
      <c r="AH6" s="91"/>
      <c r="AI6" s="92"/>
      <c r="AJ6" s="92"/>
      <c r="AK6" s="93"/>
    </row>
    <row r="7" spans="1:37" ht="128.5" thickBot="1" x14ac:dyDescent="0.4">
      <c r="A7" s="124"/>
      <c r="B7" s="126"/>
      <c r="C7" s="55"/>
      <c r="D7" s="58"/>
      <c r="E7" s="4" t="s">
        <v>21</v>
      </c>
      <c r="F7" s="5" t="s">
        <v>22</v>
      </c>
      <c r="G7" s="62"/>
      <c r="H7" s="6" t="s">
        <v>23</v>
      </c>
      <c r="I7" s="7" t="s">
        <v>24</v>
      </c>
      <c r="J7" s="7" t="s">
        <v>25</v>
      </c>
      <c r="K7" s="8" t="s">
        <v>26</v>
      </c>
      <c r="L7" s="9" t="s">
        <v>27</v>
      </c>
      <c r="M7" s="9" t="s">
        <v>28</v>
      </c>
      <c r="N7" s="9" t="s">
        <v>29</v>
      </c>
      <c r="O7" s="9" t="s">
        <v>30</v>
      </c>
      <c r="P7" s="10" t="s">
        <v>31</v>
      </c>
      <c r="Q7" s="11" t="s">
        <v>32</v>
      </c>
      <c r="R7" s="12" t="s">
        <v>33</v>
      </c>
      <c r="S7" s="13" t="s">
        <v>34</v>
      </c>
      <c r="T7" s="14" t="s">
        <v>35</v>
      </c>
      <c r="U7" s="14" t="s">
        <v>36</v>
      </c>
      <c r="V7" s="15" t="s">
        <v>37</v>
      </c>
      <c r="W7" s="16" t="s">
        <v>38</v>
      </c>
      <c r="X7" s="17" t="s">
        <v>39</v>
      </c>
      <c r="Y7" s="18" t="s">
        <v>40</v>
      </c>
      <c r="Z7" s="19" t="s">
        <v>41</v>
      </c>
      <c r="AA7" s="20" t="s">
        <v>42</v>
      </c>
      <c r="AB7" s="21" t="s">
        <v>43</v>
      </c>
      <c r="AC7" s="22" t="s">
        <v>43</v>
      </c>
      <c r="AD7" s="23" t="s">
        <v>44</v>
      </c>
      <c r="AE7" s="24" t="s">
        <v>45</v>
      </c>
      <c r="AF7" s="24" t="s">
        <v>46</v>
      </c>
      <c r="AG7" s="25" t="s">
        <v>47</v>
      </c>
      <c r="AH7" s="26" t="s">
        <v>48</v>
      </c>
      <c r="AI7" s="26" t="s">
        <v>49</v>
      </c>
      <c r="AJ7" s="26" t="s">
        <v>50</v>
      </c>
      <c r="AK7" s="27" t="s">
        <v>51</v>
      </c>
    </row>
    <row r="8" spans="1:37" ht="47" thickBot="1" x14ac:dyDescent="0.4">
      <c r="A8" s="28">
        <v>1</v>
      </c>
      <c r="B8" s="29" t="s">
        <v>52</v>
      </c>
      <c r="C8" s="30">
        <v>435</v>
      </c>
      <c r="D8" s="30">
        <v>26</v>
      </c>
      <c r="E8" s="30"/>
      <c r="F8" s="30"/>
      <c r="G8" s="31"/>
      <c r="H8" s="30">
        <v>0</v>
      </c>
      <c r="I8" s="30"/>
      <c r="J8" s="30"/>
      <c r="K8" s="30">
        <v>0</v>
      </c>
      <c r="L8" s="30"/>
      <c r="M8" s="30"/>
      <c r="N8" s="30"/>
      <c r="O8" s="30"/>
      <c r="P8" s="30"/>
      <c r="Q8" s="30"/>
      <c r="R8" s="30"/>
      <c r="S8" s="30">
        <v>0</v>
      </c>
      <c r="T8" s="30"/>
      <c r="U8" s="30">
        <v>0</v>
      </c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</row>
    <row r="9" spans="1:37" ht="47" thickBot="1" x14ac:dyDescent="0.4">
      <c r="A9" s="28">
        <v>2</v>
      </c>
      <c r="B9" s="29" t="s">
        <v>53</v>
      </c>
      <c r="C9" s="30">
        <v>156</v>
      </c>
      <c r="D9" s="30">
        <v>29</v>
      </c>
      <c r="E9" s="30"/>
      <c r="F9" s="30"/>
      <c r="G9" s="31"/>
      <c r="H9" s="30">
        <v>23</v>
      </c>
      <c r="I9" s="30"/>
      <c r="J9" s="30"/>
      <c r="K9" s="30">
        <v>100</v>
      </c>
      <c r="L9" s="30"/>
      <c r="M9" s="30"/>
      <c r="N9" s="30"/>
      <c r="O9" s="30"/>
      <c r="P9" s="30"/>
      <c r="Q9" s="30"/>
      <c r="R9" s="30"/>
      <c r="S9" s="30">
        <v>30</v>
      </c>
      <c r="T9" s="30"/>
      <c r="U9" s="30">
        <v>247</v>
      </c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</row>
    <row r="10" spans="1:37" ht="47" thickBot="1" x14ac:dyDescent="0.4">
      <c r="A10" s="28">
        <v>3</v>
      </c>
      <c r="B10" s="32" t="s">
        <v>54</v>
      </c>
      <c r="C10" s="30">
        <v>73</v>
      </c>
      <c r="D10" s="30">
        <v>4</v>
      </c>
      <c r="E10" s="30"/>
      <c r="F10" s="30"/>
      <c r="G10" s="31"/>
      <c r="H10" s="30">
        <v>38</v>
      </c>
      <c r="I10" s="30"/>
      <c r="J10" s="30"/>
      <c r="K10" s="30">
        <v>396</v>
      </c>
      <c r="L10" s="30"/>
      <c r="M10" s="30"/>
      <c r="N10" s="30"/>
      <c r="O10" s="30"/>
      <c r="P10" s="30"/>
      <c r="Q10" s="30"/>
      <c r="R10" s="30"/>
      <c r="S10" s="30">
        <v>63</v>
      </c>
      <c r="T10" s="30"/>
      <c r="U10" s="30">
        <v>55</v>
      </c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</row>
    <row r="11" spans="1:37" ht="47" thickBot="1" x14ac:dyDescent="0.4">
      <c r="A11" s="28">
        <v>4</v>
      </c>
      <c r="B11" s="32" t="s">
        <v>55</v>
      </c>
      <c r="C11" s="30">
        <v>122</v>
      </c>
      <c r="D11" s="30">
        <v>7</v>
      </c>
      <c r="E11" s="30"/>
      <c r="F11" s="30"/>
      <c r="G11" s="31"/>
      <c r="H11" s="30">
        <v>348</v>
      </c>
      <c r="I11" s="30"/>
      <c r="J11" s="30"/>
      <c r="K11" s="30">
        <v>2023</v>
      </c>
      <c r="L11" s="30"/>
      <c r="M11" s="30"/>
      <c r="N11" s="30"/>
      <c r="O11" s="30"/>
      <c r="P11" s="30"/>
      <c r="Q11" s="30"/>
      <c r="R11" s="30"/>
      <c r="S11" s="30">
        <v>10</v>
      </c>
      <c r="T11" s="30"/>
      <c r="U11" s="30">
        <v>61</v>
      </c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</row>
    <row r="12" spans="1:37" ht="47" thickBot="1" x14ac:dyDescent="0.4">
      <c r="A12" s="28">
        <v>5</v>
      </c>
      <c r="B12" s="32" t="s">
        <v>56</v>
      </c>
      <c r="C12" s="30">
        <v>83</v>
      </c>
      <c r="D12" s="30">
        <v>10</v>
      </c>
      <c r="E12" s="30"/>
      <c r="F12" s="30"/>
      <c r="G12" s="31"/>
      <c r="H12" s="30">
        <v>116</v>
      </c>
      <c r="I12" s="30"/>
      <c r="J12" s="30"/>
      <c r="K12" s="30">
        <v>1130</v>
      </c>
      <c r="L12" s="30"/>
      <c r="M12" s="30"/>
      <c r="N12" s="30"/>
      <c r="O12" s="30"/>
      <c r="P12" s="30"/>
      <c r="Q12" s="30"/>
      <c r="R12" s="30"/>
      <c r="S12" s="30">
        <v>7</v>
      </c>
      <c r="T12" s="30"/>
      <c r="U12" s="30">
        <v>25</v>
      </c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</row>
    <row r="13" spans="1:37" ht="47" thickBot="1" x14ac:dyDescent="0.4">
      <c r="A13" s="28">
        <v>6</v>
      </c>
      <c r="B13" s="32" t="s">
        <v>57</v>
      </c>
      <c r="C13" s="30">
        <v>117</v>
      </c>
      <c r="D13" s="30">
        <v>5</v>
      </c>
      <c r="E13" s="30"/>
      <c r="F13" s="30"/>
      <c r="G13" s="31"/>
      <c r="H13" s="30">
        <v>61</v>
      </c>
      <c r="I13" s="30"/>
      <c r="J13" s="30"/>
      <c r="K13" s="30">
        <v>255</v>
      </c>
      <c r="L13" s="30"/>
      <c r="M13" s="30"/>
      <c r="N13" s="30"/>
      <c r="O13" s="30"/>
      <c r="P13" s="30"/>
      <c r="Q13" s="30"/>
      <c r="R13" s="30"/>
      <c r="S13" s="30">
        <v>42</v>
      </c>
      <c r="T13" s="30"/>
      <c r="U13" s="30">
        <v>34</v>
      </c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</row>
    <row r="14" spans="1:37" ht="47" thickBot="1" x14ac:dyDescent="0.4">
      <c r="A14" s="28">
        <v>7</v>
      </c>
      <c r="B14" s="32" t="s">
        <v>58</v>
      </c>
      <c r="C14" s="30">
        <v>57</v>
      </c>
      <c r="D14" s="30">
        <v>6</v>
      </c>
      <c r="E14" s="30"/>
      <c r="F14" s="30"/>
      <c r="G14" s="31"/>
      <c r="H14" s="30">
        <v>14</v>
      </c>
      <c r="I14" s="30"/>
      <c r="J14" s="30"/>
      <c r="K14" s="30">
        <v>250</v>
      </c>
      <c r="L14" s="30"/>
      <c r="M14" s="30"/>
      <c r="N14" s="30"/>
      <c r="O14" s="30"/>
      <c r="P14" s="30"/>
      <c r="Q14" s="30"/>
      <c r="R14" s="30"/>
      <c r="S14" s="30">
        <v>18</v>
      </c>
      <c r="T14" s="30"/>
      <c r="U14" s="30">
        <v>26</v>
      </c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</row>
    <row r="15" spans="1:37" ht="47" thickBot="1" x14ac:dyDescent="0.4">
      <c r="A15" s="28">
        <v>8</v>
      </c>
      <c r="B15" s="32" t="s">
        <v>59</v>
      </c>
      <c r="C15" s="30">
        <v>80</v>
      </c>
      <c r="D15" s="30">
        <v>9</v>
      </c>
      <c r="E15" s="30"/>
      <c r="F15" s="30"/>
      <c r="G15" s="31"/>
      <c r="H15" s="30">
        <v>78</v>
      </c>
      <c r="I15" s="30"/>
      <c r="J15" s="30"/>
      <c r="K15" s="30">
        <v>700</v>
      </c>
      <c r="L15" s="30"/>
      <c r="M15" s="30"/>
      <c r="N15" s="30"/>
      <c r="O15" s="30"/>
      <c r="P15" s="30"/>
      <c r="Q15" s="30"/>
      <c r="R15" s="30"/>
      <c r="S15" s="30">
        <v>23</v>
      </c>
      <c r="T15" s="30"/>
      <c r="U15" s="30">
        <v>14</v>
      </c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</row>
    <row r="16" spans="1:37" ht="47" thickBot="1" x14ac:dyDescent="0.4">
      <c r="A16" s="28">
        <v>9</v>
      </c>
      <c r="B16" s="32" t="s">
        <v>60</v>
      </c>
      <c r="C16" s="30">
        <v>67</v>
      </c>
      <c r="D16" s="30">
        <v>7</v>
      </c>
      <c r="E16" s="30"/>
      <c r="F16" s="30"/>
      <c r="G16" s="31"/>
      <c r="H16" s="30">
        <v>85</v>
      </c>
      <c r="I16" s="30"/>
      <c r="J16" s="30"/>
      <c r="K16" s="30">
        <v>1650</v>
      </c>
      <c r="L16" s="30"/>
      <c r="M16" s="30"/>
      <c r="N16" s="30"/>
      <c r="O16" s="30"/>
      <c r="P16" s="30"/>
      <c r="Q16" s="30"/>
      <c r="R16" s="30"/>
      <c r="S16" s="30">
        <v>45</v>
      </c>
      <c r="T16" s="30"/>
      <c r="U16" s="30">
        <v>57</v>
      </c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</row>
    <row r="17" spans="1:37" ht="47" thickBot="1" x14ac:dyDescent="0.4">
      <c r="A17" s="28">
        <v>10</v>
      </c>
      <c r="B17" s="32" t="s">
        <v>61</v>
      </c>
      <c r="C17" s="30">
        <v>22</v>
      </c>
      <c r="D17" s="30">
        <v>4</v>
      </c>
      <c r="E17" s="30"/>
      <c r="F17" s="30"/>
      <c r="G17" s="31"/>
      <c r="H17" s="30">
        <v>282</v>
      </c>
      <c r="I17" s="30"/>
      <c r="J17" s="30"/>
      <c r="K17" s="30">
        <v>480</v>
      </c>
      <c r="L17" s="30"/>
      <c r="M17" s="30"/>
      <c r="N17" s="30"/>
      <c r="O17" s="30"/>
      <c r="P17" s="30"/>
      <c r="Q17" s="30"/>
      <c r="R17" s="30"/>
      <c r="S17" s="30">
        <v>42</v>
      </c>
      <c r="T17" s="30"/>
      <c r="U17" s="30">
        <v>0</v>
      </c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</row>
    <row r="18" spans="1:37" ht="47" thickBot="1" x14ac:dyDescent="0.4">
      <c r="A18" s="28">
        <v>11</v>
      </c>
      <c r="B18" s="32" t="s">
        <v>62</v>
      </c>
      <c r="C18" s="30">
        <v>72</v>
      </c>
      <c r="D18" s="30">
        <v>5</v>
      </c>
      <c r="E18" s="30"/>
      <c r="F18" s="30"/>
      <c r="G18" s="31"/>
      <c r="H18" s="30">
        <v>98</v>
      </c>
      <c r="I18" s="30"/>
      <c r="J18" s="30"/>
      <c r="K18" s="30">
        <v>120</v>
      </c>
      <c r="L18" s="30"/>
      <c r="M18" s="30"/>
      <c r="N18" s="30"/>
      <c r="O18" s="30"/>
      <c r="P18" s="30"/>
      <c r="Q18" s="30"/>
      <c r="R18" s="30"/>
      <c r="S18" s="30">
        <v>7</v>
      </c>
      <c r="T18" s="30"/>
      <c r="U18" s="30">
        <v>6</v>
      </c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</row>
    <row r="19" spans="1:37" ht="47" thickBot="1" x14ac:dyDescent="0.4">
      <c r="A19" s="28">
        <v>12</v>
      </c>
      <c r="B19" s="32" t="s">
        <v>63</v>
      </c>
      <c r="C19" s="30">
        <v>34</v>
      </c>
      <c r="D19" s="30">
        <v>6</v>
      </c>
      <c r="E19" s="30"/>
      <c r="F19" s="30"/>
      <c r="G19" s="31"/>
      <c r="H19" s="30">
        <v>50</v>
      </c>
      <c r="I19" s="30"/>
      <c r="J19" s="30"/>
      <c r="K19" s="30">
        <v>267</v>
      </c>
      <c r="L19" s="30"/>
      <c r="M19" s="30"/>
      <c r="N19" s="30"/>
      <c r="O19" s="30"/>
      <c r="P19" s="30"/>
      <c r="Q19" s="30"/>
      <c r="R19" s="30"/>
      <c r="S19" s="30">
        <v>47</v>
      </c>
      <c r="T19" s="30"/>
      <c r="U19" s="30">
        <v>8</v>
      </c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</row>
    <row r="20" spans="1:37" ht="47" thickBot="1" x14ac:dyDescent="0.4">
      <c r="A20" s="28">
        <v>13</v>
      </c>
      <c r="B20" s="32" t="s">
        <v>64</v>
      </c>
      <c r="C20" s="30">
        <v>20</v>
      </c>
      <c r="D20" s="30">
        <v>0</v>
      </c>
      <c r="E20" s="30"/>
      <c r="F20" s="30"/>
      <c r="G20" s="31"/>
      <c r="H20" s="30">
        <v>0</v>
      </c>
      <c r="I20" s="30"/>
      <c r="J20" s="30"/>
      <c r="K20" s="30">
        <v>5</v>
      </c>
      <c r="L20" s="30"/>
      <c r="M20" s="30"/>
      <c r="N20" s="30"/>
      <c r="O20" s="30"/>
      <c r="P20" s="30"/>
      <c r="Q20" s="30"/>
      <c r="R20" s="30"/>
      <c r="S20" s="30">
        <v>0</v>
      </c>
      <c r="T20" s="30"/>
      <c r="U20" s="30">
        <v>0</v>
      </c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</row>
    <row r="21" spans="1:37" ht="47" thickBot="1" x14ac:dyDescent="0.4">
      <c r="A21" s="28">
        <v>14</v>
      </c>
      <c r="B21" s="32" t="s">
        <v>65</v>
      </c>
      <c r="C21" s="30">
        <v>47</v>
      </c>
      <c r="D21" s="30">
        <v>6</v>
      </c>
      <c r="E21" s="30"/>
      <c r="F21" s="30"/>
      <c r="G21" s="31"/>
      <c r="H21" s="30">
        <v>60</v>
      </c>
      <c r="I21" s="30"/>
      <c r="J21" s="30"/>
      <c r="K21" s="30">
        <v>90</v>
      </c>
      <c r="L21" s="30"/>
      <c r="M21" s="30"/>
      <c r="N21" s="30"/>
      <c r="O21" s="30"/>
      <c r="P21" s="30"/>
      <c r="Q21" s="30"/>
      <c r="R21" s="30"/>
      <c r="S21" s="30">
        <v>15</v>
      </c>
      <c r="T21" s="30"/>
      <c r="U21" s="30">
        <v>39</v>
      </c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</row>
    <row r="22" spans="1:37" ht="47" thickBot="1" x14ac:dyDescent="0.4">
      <c r="A22" s="28">
        <v>15</v>
      </c>
      <c r="B22" s="32" t="s">
        <v>66</v>
      </c>
      <c r="C22" s="30">
        <v>40</v>
      </c>
      <c r="D22" s="30">
        <v>6</v>
      </c>
      <c r="E22" s="30"/>
      <c r="F22" s="30"/>
      <c r="G22" s="31"/>
      <c r="H22" s="30">
        <v>51</v>
      </c>
      <c r="I22" s="30"/>
      <c r="J22" s="30"/>
      <c r="K22" s="30">
        <v>600</v>
      </c>
      <c r="L22" s="30"/>
      <c r="M22" s="30"/>
      <c r="N22" s="30"/>
      <c r="O22" s="30"/>
      <c r="P22" s="30"/>
      <c r="Q22" s="30"/>
      <c r="R22" s="30"/>
      <c r="S22" s="30">
        <v>63</v>
      </c>
      <c r="T22" s="30"/>
      <c r="U22" s="30">
        <v>24</v>
      </c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</row>
    <row r="23" spans="1:37" ht="47" thickBot="1" x14ac:dyDescent="0.4">
      <c r="A23" s="28">
        <v>16</v>
      </c>
      <c r="B23" s="33" t="s">
        <v>67</v>
      </c>
      <c r="C23" s="30">
        <v>34</v>
      </c>
      <c r="D23" s="30">
        <v>4</v>
      </c>
      <c r="E23" s="30"/>
      <c r="F23" s="30"/>
      <c r="G23" s="31"/>
      <c r="H23" s="30">
        <v>44</v>
      </c>
      <c r="I23" s="30"/>
      <c r="J23" s="30"/>
      <c r="K23" s="30">
        <v>62</v>
      </c>
      <c r="L23" s="30"/>
      <c r="M23" s="30"/>
      <c r="N23" s="30"/>
      <c r="O23" s="30"/>
      <c r="P23" s="30"/>
      <c r="Q23" s="30"/>
      <c r="R23" s="30"/>
      <c r="S23" s="30">
        <v>24</v>
      </c>
      <c r="T23" s="30"/>
      <c r="U23" s="30">
        <v>30</v>
      </c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</row>
    <row r="24" spans="1:37" ht="74" customHeight="1" thickBot="1" x14ac:dyDescent="0.4">
      <c r="A24" s="36" t="s">
        <v>69</v>
      </c>
      <c r="B24" s="37"/>
      <c r="C24" s="96" t="s">
        <v>2</v>
      </c>
      <c r="D24" s="97"/>
      <c r="E24" s="98"/>
      <c r="F24" s="98"/>
      <c r="G24" s="98"/>
      <c r="H24" s="99" t="s">
        <v>3</v>
      </c>
      <c r="I24" s="100"/>
      <c r="J24" s="100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2"/>
      <c r="W24" s="42" t="s">
        <v>4</v>
      </c>
      <c r="X24" s="43"/>
      <c r="Y24" s="43"/>
      <c r="Z24" s="50" t="s">
        <v>5</v>
      </c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2"/>
    </row>
    <row r="25" spans="1:37" ht="42.5" thickBot="1" x14ac:dyDescent="0.4">
      <c r="A25" s="38"/>
      <c r="B25" s="39"/>
      <c r="C25" s="53" t="s">
        <v>6</v>
      </c>
      <c r="D25" s="56" t="s">
        <v>7</v>
      </c>
      <c r="E25" s="59" t="s">
        <v>8</v>
      </c>
      <c r="F25" s="60"/>
      <c r="G25" s="61" t="s">
        <v>9</v>
      </c>
      <c r="H25" s="63" t="s">
        <v>10</v>
      </c>
      <c r="I25" s="64"/>
      <c r="J25" s="64"/>
      <c r="K25" s="65"/>
      <c r="L25" s="63" t="s">
        <v>11</v>
      </c>
      <c r="M25" s="64"/>
      <c r="N25" s="64"/>
      <c r="O25" s="65"/>
      <c r="P25" s="69" t="s">
        <v>12</v>
      </c>
      <c r="Q25" s="69"/>
      <c r="R25" s="70"/>
      <c r="S25" s="73" t="s">
        <v>13</v>
      </c>
      <c r="T25" s="74"/>
      <c r="U25" s="74"/>
      <c r="V25" s="75"/>
      <c r="W25" s="44"/>
      <c r="X25" s="45"/>
      <c r="Y25" s="46"/>
      <c r="Z25" s="79" t="s">
        <v>14</v>
      </c>
      <c r="AA25" s="79"/>
      <c r="AB25" s="79"/>
      <c r="AC25" s="79"/>
      <c r="AD25" s="80" t="s">
        <v>15</v>
      </c>
      <c r="AE25" s="82" t="s">
        <v>16</v>
      </c>
      <c r="AF25" s="84" t="s">
        <v>17</v>
      </c>
      <c r="AG25" s="85"/>
      <c r="AH25" s="88" t="s">
        <v>18</v>
      </c>
      <c r="AI25" s="89"/>
      <c r="AJ25" s="89"/>
      <c r="AK25" s="90"/>
    </row>
    <row r="26" spans="1:37" ht="84.5" thickBot="1" x14ac:dyDescent="0.4">
      <c r="A26" s="38"/>
      <c r="B26" s="39"/>
      <c r="C26" s="54"/>
      <c r="D26" s="57"/>
      <c r="E26" s="35"/>
      <c r="F26" s="2"/>
      <c r="G26" s="62"/>
      <c r="H26" s="66"/>
      <c r="I26" s="67"/>
      <c r="J26" s="67"/>
      <c r="K26" s="68"/>
      <c r="L26" s="66"/>
      <c r="M26" s="67"/>
      <c r="N26" s="67"/>
      <c r="O26" s="68"/>
      <c r="P26" s="71"/>
      <c r="Q26" s="71"/>
      <c r="R26" s="72"/>
      <c r="S26" s="76"/>
      <c r="T26" s="77"/>
      <c r="U26" s="77"/>
      <c r="V26" s="78"/>
      <c r="W26" s="47"/>
      <c r="X26" s="48"/>
      <c r="Y26" s="49"/>
      <c r="Z26" s="94" t="s">
        <v>19</v>
      </c>
      <c r="AA26" s="94"/>
      <c r="AB26" s="95"/>
      <c r="AC26" s="3" t="s">
        <v>20</v>
      </c>
      <c r="AD26" s="81"/>
      <c r="AE26" s="83"/>
      <c r="AF26" s="86"/>
      <c r="AG26" s="87"/>
      <c r="AH26" s="91"/>
      <c r="AI26" s="92"/>
      <c r="AJ26" s="92"/>
      <c r="AK26" s="93"/>
    </row>
    <row r="27" spans="1:37" ht="128.5" thickBot="1" x14ac:dyDescent="0.4">
      <c r="A27" s="38"/>
      <c r="B27" s="39"/>
      <c r="C27" s="55"/>
      <c r="D27" s="58"/>
      <c r="E27" s="4" t="s">
        <v>21</v>
      </c>
      <c r="F27" s="5" t="s">
        <v>22</v>
      </c>
      <c r="G27" s="62"/>
      <c r="H27" s="6" t="s">
        <v>23</v>
      </c>
      <c r="I27" s="7" t="s">
        <v>24</v>
      </c>
      <c r="J27" s="7" t="s">
        <v>25</v>
      </c>
      <c r="K27" s="8" t="s">
        <v>26</v>
      </c>
      <c r="L27" s="9" t="s">
        <v>27</v>
      </c>
      <c r="M27" s="9" t="s">
        <v>28</v>
      </c>
      <c r="N27" s="9" t="s">
        <v>29</v>
      </c>
      <c r="O27" s="9" t="s">
        <v>30</v>
      </c>
      <c r="P27" s="10" t="s">
        <v>31</v>
      </c>
      <c r="Q27" s="11" t="s">
        <v>32</v>
      </c>
      <c r="R27" s="12" t="s">
        <v>33</v>
      </c>
      <c r="S27" s="13" t="s">
        <v>34</v>
      </c>
      <c r="T27" s="14" t="s">
        <v>35</v>
      </c>
      <c r="U27" s="14" t="s">
        <v>36</v>
      </c>
      <c r="V27" s="15" t="s">
        <v>37</v>
      </c>
      <c r="W27" s="16" t="s">
        <v>38</v>
      </c>
      <c r="X27" s="17" t="s">
        <v>39</v>
      </c>
      <c r="Y27" s="18" t="s">
        <v>40</v>
      </c>
      <c r="Z27" s="19" t="s">
        <v>41</v>
      </c>
      <c r="AA27" s="20" t="s">
        <v>42</v>
      </c>
      <c r="AB27" s="21" t="s">
        <v>43</v>
      </c>
      <c r="AC27" s="22" t="s">
        <v>43</v>
      </c>
      <c r="AD27" s="23" t="s">
        <v>44</v>
      </c>
      <c r="AE27" s="24" t="s">
        <v>45</v>
      </c>
      <c r="AF27" s="24" t="s">
        <v>46</v>
      </c>
      <c r="AG27" s="25" t="s">
        <v>47</v>
      </c>
      <c r="AH27" s="26" t="s">
        <v>48</v>
      </c>
      <c r="AI27" s="26" t="s">
        <v>49</v>
      </c>
      <c r="AJ27" s="26" t="s">
        <v>50</v>
      </c>
      <c r="AK27" s="27" t="s">
        <v>51</v>
      </c>
    </row>
    <row r="28" spans="1:37" ht="47" thickBot="1" x14ac:dyDescent="0.4">
      <c r="A28" s="40"/>
      <c r="B28" s="41"/>
      <c r="C28" s="34">
        <f>SUM(C8:C23)</f>
        <v>1459</v>
      </c>
      <c r="D28" s="34">
        <f t="shared" ref="D28:AK28" si="0">SUM(D8:D23)</f>
        <v>134</v>
      </c>
      <c r="E28" s="34">
        <f t="shared" si="0"/>
        <v>0</v>
      </c>
      <c r="F28" s="34">
        <f t="shared" si="0"/>
        <v>0</v>
      </c>
      <c r="G28" s="34">
        <f t="shared" si="0"/>
        <v>0</v>
      </c>
      <c r="H28" s="34">
        <f t="shared" si="0"/>
        <v>1348</v>
      </c>
      <c r="I28" s="34">
        <f t="shared" si="0"/>
        <v>0</v>
      </c>
      <c r="J28" s="34">
        <f t="shared" si="0"/>
        <v>0</v>
      </c>
      <c r="K28" s="34">
        <f t="shared" si="0"/>
        <v>8128</v>
      </c>
      <c r="L28" s="34">
        <f t="shared" si="0"/>
        <v>0</v>
      </c>
      <c r="M28" s="34">
        <f t="shared" si="0"/>
        <v>0</v>
      </c>
      <c r="N28" s="34">
        <f t="shared" si="0"/>
        <v>0</v>
      </c>
      <c r="O28" s="34">
        <f t="shared" si="0"/>
        <v>0</v>
      </c>
      <c r="P28" s="34">
        <f t="shared" si="0"/>
        <v>0</v>
      </c>
      <c r="Q28" s="34">
        <f t="shared" si="0"/>
        <v>0</v>
      </c>
      <c r="R28" s="34">
        <f t="shared" si="0"/>
        <v>0</v>
      </c>
      <c r="S28" s="34">
        <f t="shared" si="0"/>
        <v>436</v>
      </c>
      <c r="T28" s="34">
        <f t="shared" si="0"/>
        <v>0</v>
      </c>
      <c r="U28" s="34">
        <f t="shared" si="0"/>
        <v>626</v>
      </c>
      <c r="V28" s="34">
        <f t="shared" si="0"/>
        <v>0</v>
      </c>
      <c r="W28" s="34">
        <f t="shared" si="0"/>
        <v>0</v>
      </c>
      <c r="X28" s="34">
        <f t="shared" si="0"/>
        <v>0</v>
      </c>
      <c r="Y28" s="34">
        <f t="shared" si="0"/>
        <v>0</v>
      </c>
      <c r="Z28" s="34">
        <f t="shared" si="0"/>
        <v>0</v>
      </c>
      <c r="AA28" s="34">
        <f t="shared" si="0"/>
        <v>0</v>
      </c>
      <c r="AB28" s="34">
        <f t="shared" si="0"/>
        <v>0</v>
      </c>
      <c r="AC28" s="34">
        <f t="shared" si="0"/>
        <v>0</v>
      </c>
      <c r="AD28" s="34">
        <f t="shared" si="0"/>
        <v>0</v>
      </c>
      <c r="AE28" s="34">
        <f t="shared" si="0"/>
        <v>0</v>
      </c>
      <c r="AF28" s="34">
        <f t="shared" si="0"/>
        <v>0</v>
      </c>
      <c r="AG28" s="34">
        <f t="shared" si="0"/>
        <v>0</v>
      </c>
      <c r="AH28" s="34">
        <f t="shared" si="0"/>
        <v>0</v>
      </c>
      <c r="AI28" s="34">
        <f t="shared" si="0"/>
        <v>0</v>
      </c>
      <c r="AJ28" s="34">
        <f t="shared" si="0"/>
        <v>0</v>
      </c>
      <c r="AK28" s="34">
        <f t="shared" si="0"/>
        <v>0</v>
      </c>
    </row>
  </sheetData>
  <mergeCells count="40">
    <mergeCell ref="A1:AK3"/>
    <mergeCell ref="AD5:AD6"/>
    <mergeCell ref="AE5:AE6"/>
    <mergeCell ref="AF5:AG6"/>
    <mergeCell ref="AH5:AK6"/>
    <mergeCell ref="Z6:AB6"/>
    <mergeCell ref="S5:V6"/>
    <mergeCell ref="Z5:AC5"/>
    <mergeCell ref="W4:Y6"/>
    <mergeCell ref="Z4:AK4"/>
    <mergeCell ref="A4:A7"/>
    <mergeCell ref="B4:B7"/>
    <mergeCell ref="C4:G4"/>
    <mergeCell ref="H4:V4"/>
    <mergeCell ref="C5:C7"/>
    <mergeCell ref="D5:D7"/>
    <mergeCell ref="E5:F5"/>
    <mergeCell ref="Z26:AB26"/>
    <mergeCell ref="G5:G7"/>
    <mergeCell ref="H5:K6"/>
    <mergeCell ref="L5:O6"/>
    <mergeCell ref="P5:R6"/>
    <mergeCell ref="C24:G24"/>
    <mergeCell ref="H24:V24"/>
    <mergeCell ref="A24:B28"/>
    <mergeCell ref="W24:Y26"/>
    <mergeCell ref="Z24:AK24"/>
    <mergeCell ref="C25:C27"/>
    <mergeCell ref="D25:D27"/>
    <mergeCell ref="E25:F25"/>
    <mergeCell ref="G25:G27"/>
    <mergeCell ref="H25:K26"/>
    <mergeCell ref="L25:O26"/>
    <mergeCell ref="P25:R26"/>
    <mergeCell ref="S25:V26"/>
    <mergeCell ref="Z25:AC25"/>
    <mergeCell ref="AD25:AD26"/>
    <mergeCell ref="AE25:AE26"/>
    <mergeCell ref="AF25:AG26"/>
    <mergeCell ref="AH25:AK26"/>
  </mergeCells>
  <printOptions horizontalCentered="1" verticalCentered="1"/>
  <pageMargins left="0.11811023622047245" right="0.19685039370078741" top="1.3779527559055118" bottom="0.74803149606299213" header="0.47244094488188981" footer="0.31496062992125984"/>
  <pageSetup paperSize="9" scale="22" fitToHeight="0" orientation="landscape" horizontalDpi="0" verticalDpi="0" r:id="rId1"/>
  <headerFooter>
    <oddHeader xml:space="preserve">&amp;L&amp;"Alkafeel Naskh,Bold"&amp;28&amp;Yاحصاء خدمات مديرية شؤون المحافظات
لغاية يوم   الموافق (2026/0/0)&amp;C&amp;G&amp;R&amp;"Alkafeel Naskh,Bold"&amp;28لجنة تنفيذ خطة الزيارة الاربعينية لعام (2026م/1448هــ)
شعبة الإحصاء والمعلومات المركزية
</oddHeader>
    <oddFooter xml:space="preserve">&amp;L&amp;"Alkafeel Naskh,Bold"&amp;24&amp;D  -  &amp;T&amp;R&amp;"Alkafeel Naskh,Bold"&amp;28كافة الارقام المسجلة من (المواكب- العجلات الخدمية- المتطوعين) لها قواعد بيانات مُثبتة وعلى اساسها تم ذكر الارقام.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cp:lastPrinted>2026-06-10T08:45:16Z</cp:lastPrinted>
  <dcterms:created xsi:type="dcterms:W3CDTF">2015-06-05T18:17:20Z</dcterms:created>
  <dcterms:modified xsi:type="dcterms:W3CDTF">2026-06-10T08:45:25Z</dcterms:modified>
</cp:coreProperties>
</file>